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filterPrivacy="1"/>
  <xr:revisionPtr revIDLastSave="0" documentId="13_ncr:1_{6A2DF45A-D11D-D440-AD50-F6C259F1566C}" xr6:coauthVersionLast="47" xr6:coauthVersionMax="47" xr10:uidLastSave="{00000000-0000-0000-0000-000000000000}"/>
  <bookViews>
    <workbookView xWindow="0" yWindow="620" windowWidth="28800" windowHeight="15920" xr2:uid="{00000000-000D-0000-FFFF-FFFF00000000}"/>
  </bookViews>
  <sheets>
    <sheet name="Invoice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F23" i="1"/>
  <c r="F12" i="1"/>
  <c r="F11" i="1"/>
  <c r="F17" i="1" l="1"/>
  <c r="F18" i="1" l="1"/>
  <c r="F19" i="1" l="1"/>
  <c r="F21" i="1" l="1"/>
  <c r="F20" i="1"/>
</calcChain>
</file>

<file path=xl/sharedStrings.xml><?xml version="1.0" encoding="utf-8"?>
<sst xmlns="http://schemas.openxmlformats.org/spreadsheetml/2006/main" count="80" uniqueCount="57">
  <si>
    <t>INVOICE</t>
  </si>
  <si>
    <t>ORIGINAL FOR RECIPIENT</t>
  </si>
  <si>
    <t>Supplier</t>
  </si>
  <si>
    <t>Receiver</t>
  </si>
  <si>
    <t>Name</t>
  </si>
  <si>
    <t>KISHAN ENTERPRISE</t>
  </si>
  <si>
    <t>GR AGRO INDUSTRIES</t>
  </si>
  <si>
    <t>GSTIN</t>
  </si>
  <si>
    <t>24EXJPR5313F1ZG</t>
  </si>
  <si>
    <t>24HAYPP3387L1ZK</t>
  </si>
  <si>
    <t>PAN</t>
  </si>
  <si>
    <t>EXJPR5313F</t>
  </si>
  <si>
    <t>PERIOD</t>
  </si>
  <si>
    <t>01/05/2026 to 31/05/2026</t>
  </si>
  <si>
    <t>Address</t>
  </si>
  <si>
    <t>Rameshwar Nagar, Godhra Road, Halol, Panchmahal, Gujarat - 389350</t>
  </si>
  <si>
    <t>Place of Supply</t>
  </si>
  <si>
    <t>Invoice Date</t>
  </si>
  <si>
    <t>Invoice No.</t>
  </si>
  <si>
    <t>GUJARAT (24)</t>
  </si>
  <si>
    <t>31-05-2026</t>
  </si>
  <si>
    <t>2</t>
  </si>
  <si>
    <t>S.No.</t>
  </si>
  <si>
    <t>Description &amp; SAC Code</t>
  </si>
  <si>
    <t>Rate / Head</t>
  </si>
  <si>
    <t>No. of Persons</t>
  </si>
  <si>
    <t>Days</t>
  </si>
  <si>
    <t>Total Amount</t>
  </si>
  <si>
    <t>Loading /Unloading</t>
  </si>
  <si>
    <t/>
  </si>
  <si>
    <t>Skill</t>
  </si>
  <si>
    <t>Provident Fund@13%</t>
  </si>
  <si>
    <t>ESIC@3.25%</t>
  </si>
  <si>
    <t>Bonus</t>
  </si>
  <si>
    <t>Total Taxable Amount</t>
  </si>
  <si>
    <t>Service Charges @5%</t>
  </si>
  <si>
    <t>CGST 9%</t>
  </si>
  <si>
    <t>SGST 9%</t>
  </si>
  <si>
    <t>TOTAL AMOUNT</t>
  </si>
  <si>
    <t>Total Invoice Value (In Figures)</t>
  </si>
  <si>
    <t>Total Invoice Value (In Words)</t>
  </si>
  <si>
    <t>Payment Terms</t>
  </si>
  <si>
    <t>In favour of</t>
  </si>
  <si>
    <t>Bank &amp; Branch</t>
  </si>
  <si>
    <t>HDFC BANK</t>
  </si>
  <si>
    <t>Account No.</t>
  </si>
  <si>
    <t>50200119219082</t>
  </si>
  <si>
    <t>IFSC Code</t>
  </si>
  <si>
    <t>HDFC0000954</t>
  </si>
  <si>
    <t>Comments</t>
  </si>
  <si>
    <t>Authorised Signatory</t>
  </si>
  <si>
    <t>by KISHAN ENTERPRISE</t>
  </si>
  <si>
    <t>Rameshwar Nagar, Godhra Road, Halol | E-mail: makwanarajesh822@gmail.com</t>
  </si>
  <si>
    <t>OT</t>
  </si>
  <si>
    <t>Total Amount Before Tax</t>
  </si>
  <si>
    <t>Two Lakh Twenty Two Thousand Four Hundred Twenty Two only</t>
  </si>
  <si>
    <t>PAST BALANCE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</si>
</sst>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8"/>
      <color rgb="FFC65911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111111"/>
      <name val="Arial"/>
      <family val="2"/>
    </font>
    <font>
      <sz val="8"/>
      <color rgb="FF111111"/>
      <name val="Arial"/>
      <family val="2"/>
    </font>
    <font>
      <b/>
      <sz val="10"/>
      <color rgb="FF111111"/>
      <name val="Arial"/>
      <family val="2"/>
    </font>
    <font>
      <b/>
      <sz val="9"/>
      <color rgb="FF111111"/>
      <name val="Arial"/>
      <family val="2"/>
    </font>
    <font>
      <i/>
      <sz val="9"/>
      <color rgb="FF111111"/>
      <name val="Arial"/>
      <family val="2"/>
    </font>
    <font>
      <sz val="8"/>
      <color rgb="FF64748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DBEAFE"/>
      </patternFill>
    </fill>
  </fills>
  <borders count="5">
    <border>
      <left/>
      <right/>
      <top/>
      <bottom/>
      <diagonal/>
    </border>
    <border>
      <left style="thin">
        <color rgb="FFB8C4D4"/>
      </left>
      <right style="thin">
        <color rgb="FFB8C4D4"/>
      </right>
      <top style="thin">
        <color rgb="FFB8C4D4"/>
      </top>
      <bottom style="thin">
        <color rgb="FFB8C4D4"/>
      </bottom>
      <diagonal/>
    </border>
    <border>
      <left style="thin">
        <color rgb="FFB8C4D4"/>
      </left>
      <right/>
      <top style="thin">
        <color rgb="FFB8C4D4"/>
      </top>
      <bottom style="thin">
        <color rgb="FFB8C4D4"/>
      </bottom>
      <diagonal/>
    </border>
    <border>
      <left/>
      <right/>
      <top style="thin">
        <color rgb="FFB8C4D4"/>
      </top>
      <bottom style="thin">
        <color rgb="FFB8C4D4"/>
      </bottom>
      <diagonal/>
    </border>
    <border>
      <left/>
      <right style="thin">
        <color rgb="FFB8C4D4"/>
      </right>
      <top style="thin">
        <color rgb="FFB8C4D4"/>
      </top>
      <bottom style="thin">
        <color rgb="FFB8C4D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4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4" fontId="4" fillId="5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/>
    <xf numFmtId="0" fontId="8" fillId="5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8" fillId="0" borderId="1" xfId="0" applyFont="1" applyBorder="1"/>
    <xf numFmtId="4" fontId="8" fillId="0" borderId="1" xfId="0" applyNumberFormat="1" applyFont="1" applyBorder="1"/>
    <xf numFmtId="0" fontId="9" fillId="0" borderId="1" xfId="0" applyFont="1" applyBorder="1"/>
    <xf numFmtId="0" fontId="3" fillId="2" borderId="1" xfId="0" applyFont="1" applyFill="1" applyBorder="1"/>
    <xf numFmtId="0" fontId="5" fillId="5" borderId="1" xfId="0" applyFont="1" applyFill="1" applyBorder="1"/>
    <xf numFmtId="0" fontId="0" fillId="3" borderId="1" xfId="0" applyFill="1" applyBorder="1"/>
    <xf numFmtId="0" fontId="4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tabSelected="1" workbookViewId="0">
      <selection activeCell="J24" sqref="J24"/>
    </sheetView>
  </sheetViews>
  <sheetFormatPr baseColWidth="10" defaultColWidth="8.83203125" defaultRowHeight="15" x14ac:dyDescent="0.2"/>
  <cols>
    <col min="1" max="1" width="13.1640625" customWidth="1"/>
    <col min="2" max="2" width="30" customWidth="1"/>
    <col min="3" max="4" width="14" customWidth="1"/>
    <col min="5" max="5" width="8" customWidth="1"/>
    <col min="6" max="6" width="16" customWidth="1"/>
  </cols>
  <sheetData>
    <row r="1" spans="1:6" ht="34.75" customHeight="1" x14ac:dyDescent="0.2">
      <c r="A1" s="15" t="s">
        <v>0</v>
      </c>
      <c r="B1" s="15"/>
      <c r="C1" s="15"/>
      <c r="D1" s="15"/>
      <c r="E1" s="15"/>
      <c r="F1" s="15"/>
    </row>
    <row r="2" spans="1:6" ht="18.75" customHeight="1" x14ac:dyDescent="0.2">
      <c r="A2" s="16" t="s">
        <v>1</v>
      </c>
      <c r="B2" s="16"/>
      <c r="C2" s="16"/>
      <c r="D2" s="16"/>
      <c r="E2" s="16"/>
      <c r="F2" s="16"/>
    </row>
    <row r="3" spans="1:6" ht="21.25" customHeight="1" x14ac:dyDescent="0.2">
      <c r="A3" s="17" t="s">
        <v>2</v>
      </c>
      <c r="B3" s="17"/>
      <c r="C3" s="17"/>
      <c r="D3" s="17" t="s">
        <v>3</v>
      </c>
      <c r="E3" s="17"/>
      <c r="F3" s="17"/>
    </row>
    <row r="4" spans="1:6" x14ac:dyDescent="0.2">
      <c r="A4" s="1" t="s">
        <v>4</v>
      </c>
      <c r="B4" s="18" t="s">
        <v>5</v>
      </c>
      <c r="C4" s="18"/>
      <c r="D4" s="1" t="s">
        <v>4</v>
      </c>
      <c r="E4" s="19" t="s">
        <v>6</v>
      </c>
      <c r="F4" s="19"/>
    </row>
    <row r="5" spans="1:6" x14ac:dyDescent="0.2">
      <c r="A5" s="1" t="s">
        <v>7</v>
      </c>
      <c r="B5" s="18" t="s">
        <v>8</v>
      </c>
      <c r="C5" s="18"/>
      <c r="D5" s="1" t="s">
        <v>7</v>
      </c>
      <c r="E5" s="19" t="s">
        <v>9</v>
      </c>
      <c r="F5" s="19"/>
    </row>
    <row r="6" spans="1:6" x14ac:dyDescent="0.2">
      <c r="A6" s="1" t="s">
        <v>10</v>
      </c>
      <c r="B6" s="18" t="s">
        <v>11</v>
      </c>
      <c r="C6" s="18"/>
      <c r="D6" s="1" t="s">
        <v>12</v>
      </c>
      <c r="E6" s="19" t="s">
        <v>13</v>
      </c>
      <c r="F6" s="19"/>
    </row>
    <row r="7" spans="1:6" ht="37.25" customHeight="1" x14ac:dyDescent="0.2">
      <c r="A7" s="1" t="s">
        <v>14</v>
      </c>
      <c r="B7" s="20" t="s">
        <v>15</v>
      </c>
      <c r="C7" s="20"/>
      <c r="D7" s="21"/>
      <c r="E7" s="21"/>
      <c r="F7" s="21"/>
    </row>
    <row r="8" spans="1:6" ht="18.75" customHeight="1" x14ac:dyDescent="0.2">
      <c r="A8" s="22" t="s">
        <v>16</v>
      </c>
      <c r="B8" s="22"/>
      <c r="C8" s="22" t="s">
        <v>17</v>
      </c>
      <c r="D8" s="22"/>
      <c r="E8" s="22" t="s">
        <v>18</v>
      </c>
      <c r="F8" s="22"/>
    </row>
    <row r="9" spans="1:6" ht="21.25" customHeight="1" x14ac:dyDescent="0.2">
      <c r="A9" s="23" t="s">
        <v>19</v>
      </c>
      <c r="B9" s="23"/>
      <c r="C9" s="23" t="s">
        <v>20</v>
      </c>
      <c r="D9" s="23"/>
      <c r="E9" s="23" t="s">
        <v>21</v>
      </c>
      <c r="F9" s="23"/>
    </row>
    <row r="10" spans="1:6" ht="29.25" customHeight="1" x14ac:dyDescent="0.2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 ht="20" customHeight="1" x14ac:dyDescent="0.2">
      <c r="A11" s="3">
        <v>1</v>
      </c>
      <c r="B11" s="4" t="s">
        <v>28</v>
      </c>
      <c r="C11" s="5">
        <v>466.67</v>
      </c>
      <c r="D11" s="5">
        <v>288</v>
      </c>
      <c r="E11" s="6" t="s">
        <v>29</v>
      </c>
      <c r="F11" s="5">
        <f>C11*D11</f>
        <v>134400.95999999999</v>
      </c>
    </row>
    <row r="12" spans="1:6" ht="20" customHeight="1" x14ac:dyDescent="0.2">
      <c r="A12" s="7">
        <v>2</v>
      </c>
      <c r="B12" s="8" t="s">
        <v>53</v>
      </c>
      <c r="C12" s="9">
        <v>58.33</v>
      </c>
      <c r="D12" s="9">
        <v>700.5</v>
      </c>
      <c r="E12" s="9" t="s">
        <v>29</v>
      </c>
      <c r="F12" s="9">
        <f>C12*D12</f>
        <v>40860.165000000001</v>
      </c>
    </row>
    <row r="13" spans="1:6" ht="20" customHeight="1" x14ac:dyDescent="0.2">
      <c r="A13" s="3">
        <v>3</v>
      </c>
      <c r="B13" s="4" t="s">
        <v>30</v>
      </c>
      <c r="C13" s="6" t="s">
        <v>29</v>
      </c>
      <c r="D13" s="6" t="s">
        <v>29</v>
      </c>
      <c r="E13" s="6" t="s">
        <v>29</v>
      </c>
      <c r="F13" s="6" t="s">
        <v>29</v>
      </c>
    </row>
    <row r="14" spans="1:6" ht="20" customHeight="1" x14ac:dyDescent="0.2">
      <c r="A14" s="7">
        <v>4</v>
      </c>
      <c r="B14" s="8" t="s">
        <v>31</v>
      </c>
      <c r="C14" s="9" t="s">
        <v>29</v>
      </c>
      <c r="D14" s="9" t="s">
        <v>29</v>
      </c>
      <c r="E14" s="9" t="s">
        <v>29</v>
      </c>
      <c r="F14" s="9" t="s">
        <v>29</v>
      </c>
    </row>
    <row r="15" spans="1:6" ht="20" customHeight="1" x14ac:dyDescent="0.2">
      <c r="A15" s="3">
        <v>5</v>
      </c>
      <c r="B15" s="4" t="s">
        <v>32</v>
      </c>
      <c r="C15" s="6" t="s">
        <v>29</v>
      </c>
      <c r="D15" s="6" t="s">
        <v>29</v>
      </c>
      <c r="E15" s="6" t="s">
        <v>29</v>
      </c>
      <c r="F15" s="6" t="s">
        <v>29</v>
      </c>
    </row>
    <row r="16" spans="1:6" ht="20" customHeight="1" x14ac:dyDescent="0.2">
      <c r="A16" s="7">
        <v>6</v>
      </c>
      <c r="B16" s="8" t="s">
        <v>33</v>
      </c>
      <c r="C16" s="9" t="s">
        <v>29</v>
      </c>
      <c r="D16" s="9" t="s">
        <v>29</v>
      </c>
      <c r="E16" s="9" t="s">
        <v>29</v>
      </c>
      <c r="F16" s="9" t="s">
        <v>29</v>
      </c>
    </row>
    <row r="17" spans="1:6" ht="20" customHeight="1" x14ac:dyDescent="0.2">
      <c r="A17" s="24" t="s">
        <v>34</v>
      </c>
      <c r="B17" s="24"/>
      <c r="C17" s="24"/>
      <c r="D17" s="24"/>
      <c r="E17" s="24"/>
      <c r="F17" s="10">
        <f>SUM(F11:F16)</f>
        <v>175261.125</v>
      </c>
    </row>
    <row r="18" spans="1:6" ht="20" customHeight="1" x14ac:dyDescent="0.2">
      <c r="A18" s="25" t="s">
        <v>35</v>
      </c>
      <c r="B18" s="25"/>
      <c r="C18" s="25"/>
      <c r="D18" s="25"/>
      <c r="E18" s="25"/>
      <c r="F18" s="11">
        <f>F17*0.05</f>
        <v>8763.0562499999996</v>
      </c>
    </row>
    <row r="19" spans="1:6" ht="20" customHeight="1" x14ac:dyDescent="0.2">
      <c r="A19" s="24" t="s">
        <v>54</v>
      </c>
      <c r="B19" s="24"/>
      <c r="C19" s="24"/>
      <c r="D19" s="24"/>
      <c r="E19" s="24"/>
      <c r="F19" s="10">
        <f>SUM(F17:F18)</f>
        <v>184024.18124999999</v>
      </c>
    </row>
    <row r="20" spans="1:6" ht="20" customHeight="1" x14ac:dyDescent="0.2">
      <c r="A20" s="25" t="s">
        <v>36</v>
      </c>
      <c r="B20" s="25"/>
      <c r="C20" s="25"/>
      <c r="D20" s="25"/>
      <c r="E20" s="25"/>
      <c r="F20" s="11">
        <f>0.09*F19</f>
        <v>16562.1763125</v>
      </c>
    </row>
    <row r="21" spans="1:6" ht="20" customHeight="1" x14ac:dyDescent="0.2">
      <c r="A21" s="25" t="s">
        <v>37</v>
      </c>
      <c r="B21" s="25"/>
      <c r="C21" s="25"/>
      <c r="D21" s="25"/>
      <c r="E21" s="25"/>
      <c r="F21" s="11">
        <f>0.09*F19</f>
        <v>16562.1763125</v>
      </c>
    </row>
    <row r="22" spans="1:6" ht="20" customHeight="1" x14ac:dyDescent="0.2">
      <c r="A22" s="35" t="s">
        <v>56</v>
      </c>
      <c r="B22" s="36"/>
      <c r="C22" s="36"/>
      <c r="D22" s="36"/>
      <c r="E22" s="37"/>
      <c r="F22" s="11">
        <v>5273.45</v>
      </c>
    </row>
    <row r="23" spans="1:6" ht="20" customHeight="1" x14ac:dyDescent="0.2">
      <c r="A23" s="26" t="s">
        <v>38</v>
      </c>
      <c r="B23" s="26"/>
      <c r="C23" s="26"/>
      <c r="D23" s="26"/>
      <c r="E23" s="26"/>
      <c r="F23" s="12">
        <f>SUM(F19:F22)</f>
        <v>222421.98387500001</v>
      </c>
    </row>
    <row r="24" spans="1:6" ht="20" customHeight="1" x14ac:dyDescent="0.2">
      <c r="A24" s="27" t="s">
        <v>39</v>
      </c>
      <c r="B24" s="27"/>
      <c r="C24" s="28">
        <f>ROUNDUP(F23,0)</f>
        <v>222422</v>
      </c>
      <c r="D24" s="28"/>
      <c r="E24" s="28"/>
      <c r="F24" s="28"/>
    </row>
    <row r="25" spans="1:6" ht="20" customHeight="1" x14ac:dyDescent="0.2">
      <c r="A25" s="27" t="s">
        <v>40</v>
      </c>
      <c r="B25" s="27"/>
      <c r="C25" s="29" t="s">
        <v>55</v>
      </c>
      <c r="D25" s="29"/>
      <c r="E25" s="29"/>
      <c r="F25" s="29"/>
    </row>
    <row r="26" spans="1:6" ht="21.25" customHeight="1" x14ac:dyDescent="0.2">
      <c r="A26" s="30" t="s">
        <v>41</v>
      </c>
      <c r="B26" s="30"/>
      <c r="C26" s="30"/>
      <c r="D26" s="30"/>
      <c r="E26" s="30"/>
      <c r="F26" s="30"/>
    </row>
    <row r="27" spans="1:6" ht="20" customHeight="1" x14ac:dyDescent="0.2">
      <c r="A27" s="13" t="s">
        <v>42</v>
      </c>
      <c r="B27" s="19" t="s">
        <v>5</v>
      </c>
      <c r="C27" s="19"/>
      <c r="D27" s="19"/>
      <c r="E27" s="19"/>
      <c r="F27" s="19"/>
    </row>
    <row r="28" spans="1:6" ht="20" customHeight="1" x14ac:dyDescent="0.2">
      <c r="A28" s="14" t="s">
        <v>43</v>
      </c>
      <c r="B28" s="31" t="s">
        <v>44</v>
      </c>
      <c r="C28" s="31"/>
      <c r="D28" s="31"/>
      <c r="E28" s="31"/>
      <c r="F28" s="31"/>
    </row>
    <row r="29" spans="1:6" ht="20" customHeight="1" x14ac:dyDescent="0.2">
      <c r="A29" s="13" t="s">
        <v>45</v>
      </c>
      <c r="B29" s="19" t="s">
        <v>46</v>
      </c>
      <c r="C29" s="19"/>
      <c r="D29" s="19"/>
      <c r="E29" s="19"/>
      <c r="F29" s="19"/>
    </row>
    <row r="30" spans="1:6" ht="20" customHeight="1" x14ac:dyDescent="0.2">
      <c r="A30" s="14" t="s">
        <v>47</v>
      </c>
      <c r="B30" s="31" t="s">
        <v>48</v>
      </c>
      <c r="C30" s="31"/>
      <c r="D30" s="31"/>
      <c r="E30" s="31"/>
      <c r="F30" s="31"/>
    </row>
    <row r="31" spans="1:6" ht="20" customHeight="1" x14ac:dyDescent="0.2">
      <c r="A31" s="13" t="s">
        <v>49</v>
      </c>
      <c r="B31" s="19" t="s">
        <v>5</v>
      </c>
      <c r="C31" s="19"/>
      <c r="D31" s="19"/>
      <c r="E31" s="19"/>
      <c r="F31" s="19"/>
    </row>
    <row r="32" spans="1:6" ht="21.25" customHeight="1" x14ac:dyDescent="0.2">
      <c r="A32" s="32" t="s">
        <v>29</v>
      </c>
      <c r="B32" s="32"/>
      <c r="C32" s="32"/>
      <c r="D32" s="32" t="s">
        <v>29</v>
      </c>
      <c r="E32" s="32"/>
      <c r="F32" s="32"/>
    </row>
    <row r="33" spans="1:6" ht="21.25" customHeight="1" x14ac:dyDescent="0.2">
      <c r="A33" s="32"/>
      <c r="B33" s="32"/>
      <c r="C33" s="32"/>
      <c r="D33" s="32"/>
      <c r="E33" s="32"/>
      <c r="F33" s="32"/>
    </row>
    <row r="34" spans="1:6" ht="21.25" customHeight="1" x14ac:dyDescent="0.2">
      <c r="A34" s="32"/>
      <c r="B34" s="32"/>
      <c r="C34" s="32"/>
      <c r="D34" s="32"/>
      <c r="E34" s="32"/>
      <c r="F34" s="32"/>
    </row>
    <row r="35" spans="1:6" ht="24" customHeight="1" x14ac:dyDescent="0.2">
      <c r="A35" s="22" t="s">
        <v>50</v>
      </c>
      <c r="B35" s="22"/>
      <c r="C35" s="22"/>
      <c r="D35" s="33" t="s">
        <v>51</v>
      </c>
      <c r="E35" s="33"/>
      <c r="F35" s="33"/>
    </row>
    <row r="36" spans="1:6" ht="24" customHeight="1" x14ac:dyDescent="0.2">
      <c r="A36" s="34" t="s">
        <v>52</v>
      </c>
      <c r="B36" s="34"/>
      <c r="C36" s="34"/>
      <c r="D36" s="34"/>
      <c r="E36" s="34"/>
      <c r="F36" s="34"/>
    </row>
  </sheetData>
  <mergeCells count="40">
    <mergeCell ref="A36:F36"/>
    <mergeCell ref="A22:E22"/>
    <mergeCell ref="B31:F31"/>
    <mergeCell ref="A32:C34"/>
    <mergeCell ref="D32:F34"/>
    <mergeCell ref="A35:C35"/>
    <mergeCell ref="D35:F35"/>
    <mergeCell ref="A26:F26"/>
    <mergeCell ref="B27:F27"/>
    <mergeCell ref="B28:F28"/>
    <mergeCell ref="B29:F29"/>
    <mergeCell ref="B30:F30"/>
    <mergeCell ref="A23:E23"/>
    <mergeCell ref="A24:B24"/>
    <mergeCell ref="C24:F24"/>
    <mergeCell ref="A25:B25"/>
    <mergeCell ref="C25:F25"/>
    <mergeCell ref="A17:E17"/>
    <mergeCell ref="A18:E18"/>
    <mergeCell ref="A19:E19"/>
    <mergeCell ref="A20:E20"/>
    <mergeCell ref="A21:E21"/>
    <mergeCell ref="A8:B8"/>
    <mergeCell ref="C8:D8"/>
    <mergeCell ref="E8:F8"/>
    <mergeCell ref="A9:B9"/>
    <mergeCell ref="C9:D9"/>
    <mergeCell ref="E9:F9"/>
    <mergeCell ref="B5:C5"/>
    <mergeCell ref="E5:F5"/>
    <mergeCell ref="B6:C6"/>
    <mergeCell ref="E6:F6"/>
    <mergeCell ref="B7:C7"/>
    <mergeCell ref="D7:F7"/>
    <mergeCell ref="A1:F1"/>
    <mergeCell ref="A2:F2"/>
    <mergeCell ref="A3:C3"/>
    <mergeCell ref="D3:F3"/>
    <mergeCell ref="B4:C4"/>
    <mergeCell ref="E4:F4"/>
  </mergeCells>
  <pageMargins left="0.7" right="0.7" top="0.75" bottom="0.75" header="0.3" footer="0.3"/>
  <pageSetup orientation="portrait" horizontalDpi="4294967295" verticalDpi="4294967295"/>
  <ignoredErrors>
    <ignoredError sqref="B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2026-06-03T04:03:35Z</dcterms:created>
  <dcterms:modified xsi:type="dcterms:W3CDTF">2026-06-03T04:35:29Z</dcterms:modified>
  <cp:category/>
</cp:coreProperties>
</file>